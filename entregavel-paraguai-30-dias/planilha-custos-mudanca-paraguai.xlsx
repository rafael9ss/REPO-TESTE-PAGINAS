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ece aqui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Parâmetros" sheetId="3" state="visible" r:id="rId3"/>
    <sheet xmlns:r="http://schemas.openxmlformats.org/officeDocument/2006/relationships" name="Taxas oficiais" sheetId="4" state="visible" r:id="rId4"/>
    <sheet xmlns:r="http://schemas.openxmlformats.org/officeDocument/2006/relationships" name="Custos da mudança" sheetId="5" state="visible" r:id="rId5"/>
    <sheet xmlns:r="http://schemas.openxmlformats.org/officeDocument/2006/relationships" name="Custo mensal" sheetId="6" state="visible" r:id="rId6"/>
  </sheets>
  <definedNames>
    <definedName name="Adultos">'Parâmetros'!$B$4</definedName>
    <definedName name="Filhos14a17">'Parâmetros'!$B$5</definedName>
    <definedName name="FilhosMenores14">'Parâmetros'!$B$6</definedName>
    <definedName name="Pessoas">'Parâmetros'!$B$7</definedName>
    <definedName name="Pessoas14mais">'Parâmetros'!$B$8</definedName>
    <definedName name="TemCasamento">'Parâmetros'!$B$9</definedName>
    <definedName name="Rota">'Parâmetros'!$B$10</definedName>
    <definedName name="GsPorReal">'Parâmetros'!$B$11</definedName>
    <definedName name="GsPorDolar">'Parâmetros'!$B$12</definedName>
    <definedName name="Margem">'Parâmetros'!$B$13</definedName>
    <definedName name="MesesReserva">'Parâmetros'!$B$14</definedName>
    <definedName name="Disponivel">'Parâmetros'!$B$15</definedName>
    <definedName name="TaxaMercosul">'Taxas oficiais'!$C$5</definedName>
    <definedName name="TaxaGeral">'Taxas oficiais'!$C$6</definedName>
    <definedName name="TaxaPermanente">'Taxas oficiais'!$C$7</definedName>
    <definedName name="TaxaProrrogacao">'Taxas oficiais'!$C$8</definedName>
    <definedName name="TaxaRadicacion">'Taxas oficiais'!$C$9</definedName>
    <definedName name="TaxaProrrogaTurista">'Taxas oficiais'!$C$11</definedName>
    <definedName name="CatCol">'Custos da mudança'!$A$5:$A$37</definedName>
    <definedName name="PrevCol">'Custos da mudança'!$F$5:$F$37</definedName>
    <definedName name="RealCol">'Custos da mudança'!$G$5:$G$37</definedName>
    <definedName name="CustoMensal">'Custo mensal'!$D$20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&quot;Gs&quot; #,##0"/>
  </numFmts>
  <fonts count="4">
    <font>
      <name val="Calibri"/>
      <family val="2"/>
      <color theme="1"/>
      <sz val="11"/>
      <scheme val="minor"/>
    </font>
    <font>
      <name val="Calibri"/>
      <b val="1"/>
      <color rgb="000B3C8C"/>
      <sz val="16"/>
    </font>
    <font>
      <name val="Calibri"/>
      <b val="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B3C8C"/>
      </patternFill>
    </fill>
    <fill>
      <patternFill patternType="solid">
        <fgColor rgb="00FFF1C9"/>
      </patternFill>
    </fill>
    <fill>
      <patternFill patternType="solid">
        <fgColor rgb="00EFE6D8"/>
      </patternFill>
    </fill>
    <fill>
      <patternFill patternType="solid">
        <fgColor rgb="00DCE6F5"/>
      </patternFill>
    </fill>
  </fills>
  <borders count="2">
    <border>
      <left/>
      <right/>
      <top/>
      <bottom/>
      <diagonal/>
    </border>
    <border>
      <left style="thin">
        <color rgb="00C9BFAF"/>
      </left>
      <right style="thin">
        <color rgb="00C9BFAF"/>
      </right>
      <top style="thin">
        <color rgb="00C9BFAF"/>
      </top>
      <bottom style="thin">
        <color rgb="00C9BFA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164" fontId="2" fillId="5" borderId="1" pivotButton="0" quotePrefix="0" xfId="0"/>
    <xf numFmtId="0" fontId="0" fillId="0" borderId="0" applyAlignment="1" pivotButton="0" quotePrefix="0" xfId="0">
      <alignment vertical="top" wrapText="1"/>
    </xf>
    <xf numFmtId="1" fontId="0" fillId="3" borderId="1" pivotButton="0" quotePrefix="0" xfId="0"/>
    <xf numFmtId="1" fontId="0" fillId="4" borderId="1" pivotButton="0" quotePrefix="0" xfId="0"/>
    <xf numFmtId="49" fontId="0" fillId="3" borderId="1" pivotButton="0" quotePrefix="0" xfId="0"/>
    <xf numFmtId="4" fontId="0" fillId="3" borderId="1" pivotButton="0" quotePrefix="0" xfId="0"/>
    <xf numFmtId="9" fontId="0" fillId="3" borderId="1" pivotButton="0" quotePrefix="0" xfId="0"/>
    <xf numFmtId="164" fontId="0" fillId="3" borderId="1" pivotButton="0" quotePrefix="0" xfId="0"/>
    <xf numFmtId="165" fontId="0" fillId="0" borderId="1" pivotButton="0" quotePrefix="0" xfId="0"/>
    <xf numFmtId="0" fontId="0" fillId="4" borderId="1" pivotButton="0" quotePrefix="0" xfId="0"/>
    <xf numFmtId="165" fontId="0" fillId="4" borderId="1" pivotButton="0" quotePrefix="0" xfId="0"/>
    <xf numFmtId="164" fontId="0" fillId="4" borderId="1" pivotButton="0" quotePrefix="0" xfId="0"/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4" fontId="0" fillId="3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0" fontId="2" fillId="0" borderId="0" pivotButton="0" quotePrefix="0" xfId="0"/>
    <xf numFmtId="164" fontId="2" fillId="5" borderId="0" pivotButton="0" quotePrefix="0" xfId="0"/>
    <xf numFmtId="0" fontId="0" fillId="3" borderId="1" pivotButton="0" quotePrefix="0" xfId="0"/>
  </cellXfs>
  <cellStyles count="1">
    <cellStyle name="Normal" xfId="0" builtinId="0" hidden="0"/>
  </cellStyles>
  <dxfs count="2">
    <dxf>
      <font>
        <b val="1"/>
        <color rgb="00C8102E"/>
      </font>
    </dxf>
    <dxf>
      <font>
        <b val="1"/>
        <color rgb="003F7D4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PARAGUAI EM 30 DIAS — Planilha de Custos da Mudança</t>
        </is>
      </c>
    </row>
    <row r="3">
      <c r="B3" s="2" t="inlineStr">
        <is>
          <t>Material 5 do kit. Conteúdo verificado em outubro de 2026.</t>
        </is>
      </c>
    </row>
    <row r="4">
      <c r="B4" s="2" t="inlineStr"/>
    </row>
    <row r="5">
      <c r="B5" s="3" t="inlineStr">
        <is>
          <t>COMO USAR</t>
        </is>
      </c>
    </row>
    <row r="6">
      <c r="B6" s="2" t="inlineStr">
        <is>
          <t>1. Aba 'Parâmetros': informe quantas pessoas vão, a rota de residência e a cotação do dia. Células amarelas são para você preencher.</t>
        </is>
      </c>
    </row>
    <row r="7">
      <c r="B7" s="2" t="inlineStr">
        <is>
          <t>2. Aba 'Custos da mudança': preencha o valor estimado de cada item na moeda em que você vai pagar (R$, Gs ou US$). A planilha converte tudo para reais.</t>
        </is>
      </c>
    </row>
    <row r="8">
      <c r="B8" s="2" t="inlineStr">
        <is>
          <t>3. Aba 'Custo mensal': monte seu custo de vida previsto no Paraguai. Ele define o tamanho da sua reserva.</t>
        </is>
      </c>
    </row>
    <row r="9">
      <c r="B9" s="2" t="inlineStr">
        <is>
          <t>4. Aba 'Resumo': veja quanto você precisa no total e compare com o que você tem.</t>
        </is>
      </c>
    </row>
    <row r="10">
      <c r="B10" s="2" t="inlineStr">
        <is>
          <t>5. Depois de pagar cada item, preencha a coluna 'Valor real pago (R$)' para acompanhar o orçamento.</t>
        </is>
      </c>
    </row>
    <row r="11">
      <c r="B11" s="2" t="inlineStr"/>
    </row>
    <row r="12">
      <c r="B12" s="3" t="inlineStr">
        <is>
          <t>IMPORTANTE</t>
        </is>
      </c>
    </row>
    <row r="13">
      <c r="B13" s="2" t="inlineStr">
        <is>
          <t>• As taxas oficiais da Migraciones já estão preenchidas na aba 'Taxas oficiais' (Resolução DNM nº 478/2026, vigente desde 01/07/2026). Confira em migraciones.gov.py/aranceles-migratorios antes de viajar.</t>
        </is>
      </c>
    </row>
    <row r="14">
      <c r="B14" s="2" t="inlineStr">
        <is>
          <t>• A cotação inicial é a do Banco Central do Paraguai de 31/08/2026. Atualize na aba 'Parâmetros' com a cotação do dia (bcp.gov.py).</t>
        </is>
      </c>
    </row>
    <row r="15">
      <c r="B15" s="2" t="inlineStr">
        <is>
          <t>• Valores de aluguel, passagens e serviços mudam muito. Use anúncios e orçamentos reais, não médias da internet.</t>
        </is>
      </c>
    </row>
    <row r="16">
      <c r="B16" s="2" t="inlineStr">
        <is>
          <t>• Esta planilha é uma ferramenta de planejamento. Ela não substitui orientação jurídica ou contábil.</t>
        </is>
      </c>
    </row>
    <row r="17">
      <c r="B17" s="2" t="inlineStr"/>
    </row>
    <row r="18">
      <c r="B18" s="2" t="inlineStr">
        <is>
          <t>No Google Sheets: Arquivo → Importar → Fazer upload deste arquivo. As fórmulas continuam funcionando.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4" t="inlineStr">
        <is>
          <t>Resumo: quanto você precisa</t>
        </is>
      </c>
    </row>
    <row r="3">
      <c r="A3" s="5" t="inlineStr">
        <is>
          <t>Categoria</t>
        </is>
      </c>
      <c r="B3" s="5" t="inlineStr">
        <is>
          <t>Previsto (R$)</t>
        </is>
      </c>
      <c r="C3" s="5" t="inlineStr">
        <is>
          <t>Real pago (R$)</t>
        </is>
      </c>
    </row>
    <row r="4">
      <c r="A4" s="6" t="inlineStr">
        <is>
          <t>1. Documentos no Brasil</t>
        </is>
      </c>
      <c r="B4" s="7">
        <f>SUMIF(CatCol,A4,PrevCol)</f>
        <v/>
      </c>
      <c r="C4" s="7">
        <f>SUMIF(CatCol,A4,RealCol)</f>
        <v/>
      </c>
    </row>
    <row r="5">
      <c r="A5" s="6" t="inlineStr">
        <is>
          <t>2. Taxas no Paraguai</t>
        </is>
      </c>
      <c r="B5" s="7">
        <f>SUMIF(CatCol,A5,PrevCol)</f>
        <v/>
      </c>
      <c r="C5" s="7">
        <f>SUMIF(CatCol,A5,RealCol)</f>
        <v/>
      </c>
    </row>
    <row r="6">
      <c r="A6" s="6" t="inlineStr">
        <is>
          <t>3. Viagem</t>
        </is>
      </c>
      <c r="B6" s="7">
        <f>SUMIF(CatCol,A6,PrevCol)</f>
        <v/>
      </c>
      <c r="C6" s="7">
        <f>SUMIF(CatCol,A6,RealCol)</f>
        <v/>
      </c>
    </row>
    <row r="7">
      <c r="A7" s="6" t="inlineStr">
        <is>
          <t>4. Hospedagem provisória</t>
        </is>
      </c>
      <c r="B7" s="7">
        <f>SUMIF(CatCol,A7,PrevCol)</f>
        <v/>
      </c>
      <c r="C7" s="7">
        <f>SUMIF(CatCol,A7,RealCol)</f>
        <v/>
      </c>
    </row>
    <row r="8">
      <c r="A8" s="6" t="inlineStr">
        <is>
          <t>5. Instalação</t>
        </is>
      </c>
      <c r="B8" s="7">
        <f>SUMIF(CatCol,A8,PrevCol)</f>
        <v/>
      </c>
      <c r="C8" s="7">
        <f>SUMIF(CatCol,A8,RealCol)</f>
        <v/>
      </c>
    </row>
    <row r="9">
      <c r="A9" s="6" t="inlineStr">
        <is>
          <t>6. Outros</t>
        </is>
      </c>
      <c r="B9" s="7">
        <f>SUMIF(CatCol,A9,PrevCol)</f>
        <v/>
      </c>
      <c r="C9" s="7">
        <f>SUMIF(CatCol,A9,RealCol)</f>
        <v/>
      </c>
    </row>
    <row r="10">
      <c r="A10" s="6" t="inlineStr">
        <is>
          <t>Subtotal da mudança</t>
        </is>
      </c>
      <c r="B10" s="7">
        <f>SUM(B4:B9)</f>
        <v/>
      </c>
      <c r="C10" s="7">
        <f>SUM(C4:C9)</f>
        <v/>
      </c>
    </row>
    <row r="11">
      <c r="A11" s="6" t="inlineStr">
        <is>
          <t>Margem para imprevistos</t>
        </is>
      </c>
      <c r="B11" s="7">
        <f>B10*Margem</f>
        <v/>
      </c>
    </row>
    <row r="12">
      <c r="A12" s="6" t="inlineStr">
        <is>
          <t>Total da mudança com margem</t>
        </is>
      </c>
      <c r="B12" s="7">
        <f>B10+B11</f>
        <v/>
      </c>
    </row>
    <row r="13">
      <c r="A13" s="6" t="inlineStr">
        <is>
          <t>Custo mensal previsto no Paraguai</t>
        </is>
      </c>
      <c r="B13" s="7">
        <f>CustoMensal</f>
        <v/>
      </c>
    </row>
    <row r="14">
      <c r="A14" s="6" t="inlineStr">
        <is>
          <t>Reserva de vida (custo mensal × meses de reserva)</t>
        </is>
      </c>
      <c r="B14" s="7">
        <f>B13*MesesReserva</f>
        <v/>
      </c>
    </row>
    <row r="15">
      <c r="A15" s="8" t="inlineStr">
        <is>
          <t>TOTAL NECESSÁRIO (mudança + margem + reserva)</t>
        </is>
      </c>
      <c r="B15" s="9">
        <f>B12+B14</f>
        <v/>
      </c>
    </row>
    <row r="16">
      <c r="A16" s="6" t="inlineStr">
        <is>
          <t>Dinheiro disponível hoje</t>
        </is>
      </c>
      <c r="B16" s="7">
        <f>Disponivel</f>
        <v/>
      </c>
    </row>
    <row r="17">
      <c r="A17" s="8" t="inlineStr">
        <is>
          <t>Diferença (positivo = sobra / negativo = falta)</t>
        </is>
      </c>
      <c r="B17" s="9">
        <f>B16-B15</f>
        <v/>
      </c>
    </row>
    <row r="18">
      <c r="A18" s="6" t="inlineStr">
        <is>
          <t>Total necessário por pessoa</t>
        </is>
      </c>
      <c r="B18" s="7">
        <f>IF(Pessoas&gt;0,B15/Pessoas,0)</f>
        <v/>
      </c>
    </row>
    <row r="20">
      <c r="A20" s="10" t="inlineStr">
        <is>
          <t>Se a diferença estiver negativa, não antecipe a viagem: ajuste a data ou o plano até o número ficar positivo.</t>
        </is>
      </c>
    </row>
  </sheetData>
  <conditionalFormatting sqref="B17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60" customWidth="1" min="3" max="3"/>
  </cols>
  <sheetData>
    <row r="1">
      <c r="A1" s="4" t="inlineStr">
        <is>
          <t>Parâmetros da sua mudança</t>
        </is>
      </c>
    </row>
    <row r="3">
      <c r="A3" s="5" t="inlineStr">
        <is>
          <t>Parâmetro</t>
        </is>
      </c>
      <c r="B3" s="5" t="inlineStr">
        <is>
          <t>Valor</t>
        </is>
      </c>
      <c r="C3" s="5" t="inlineStr">
        <is>
          <t>Explicação</t>
        </is>
      </c>
    </row>
    <row r="4">
      <c r="A4" s="6" t="inlineStr">
        <is>
          <t>Adultos (18 anos ou mais)</t>
        </is>
      </c>
      <c r="B4" s="11" t="n">
        <v>2</v>
      </c>
      <c r="C4" s="6" t="inlineStr">
        <is>
          <t>Quantas pessoas adultas vão pedir residência.</t>
        </is>
      </c>
    </row>
    <row r="5">
      <c r="A5" s="6" t="inlineStr">
        <is>
          <t>Filhos de 14 a 17 anos</t>
        </is>
      </c>
      <c r="B5" s="11" t="n">
        <v>0</v>
      </c>
      <c r="C5" s="6" t="inlineStr">
        <is>
          <t>Precisam de certidões de antecedentes.</t>
        </is>
      </c>
    </row>
    <row r="6">
      <c r="A6" s="6" t="inlineStr">
        <is>
          <t>Filhos menores de 14 anos</t>
        </is>
      </c>
      <c r="B6" s="11" t="n">
        <v>0</v>
      </c>
      <c r="C6" s="6" t="inlineStr">
        <is>
          <t>Não precisam de certidão de antecedentes.</t>
        </is>
      </c>
    </row>
    <row r="7">
      <c r="A7" s="6" t="inlineStr">
        <is>
          <t>Total de pessoas</t>
        </is>
      </c>
      <c r="B7" s="12">
        <f>B4+B5+B6</f>
        <v/>
      </c>
      <c r="C7" s="6" t="inlineStr">
        <is>
          <t>Calculado automaticamente.</t>
        </is>
      </c>
    </row>
    <row r="8">
      <c r="A8" s="6" t="inlineStr">
        <is>
          <t>Pessoas a partir de 14 anos</t>
        </is>
      </c>
      <c r="B8" s="12">
        <f>B4+B5</f>
        <v/>
      </c>
      <c r="C8" s="6" t="inlineStr">
        <is>
          <t>Calculado automaticamente.</t>
        </is>
      </c>
    </row>
    <row r="9">
      <c r="A9" s="6" t="inlineStr">
        <is>
          <t>Casal casado ou com divórcio a comprovar? (1 = sim, 0 = não)</t>
        </is>
      </c>
      <c r="B9" s="11" t="n">
        <v>1</v>
      </c>
      <c r="C9" s="6" t="inlineStr">
        <is>
          <t>Define se entra a certidão de casamento/divórcio.</t>
        </is>
      </c>
    </row>
    <row r="10">
      <c r="A10" s="6" t="inlineStr">
        <is>
          <t>Rota de residência</t>
        </is>
      </c>
      <c r="B10" s="13" t="inlineStr">
        <is>
          <t>Mercosul</t>
        </is>
      </c>
      <c r="C10" s="6" t="inlineStr">
        <is>
          <t>Mercosul ou Geral (ver Guia, capítulo 3).</t>
        </is>
      </c>
    </row>
    <row r="11">
      <c r="A11" s="6" t="inlineStr">
        <is>
          <t>Cotação: guaranis por 1 real (Gs/R$)</t>
        </is>
      </c>
      <c r="B11" s="14" t="n">
        <v>1139</v>
      </c>
      <c r="C11" s="6" t="inlineStr">
        <is>
          <t>BCP, 31/08/2026. Atualize em bcp.gov.py.</t>
        </is>
      </c>
    </row>
    <row r="12">
      <c r="A12" s="6" t="inlineStr">
        <is>
          <t>Cotação: guaranis por 1 dólar (Gs/US$)</t>
        </is>
      </c>
      <c r="B12" s="14" t="n">
        <v>5903</v>
      </c>
      <c r="C12" s="6" t="inlineStr">
        <is>
          <t>BCP, 31/08/2026. Atualize em bcp.gov.py.</t>
        </is>
      </c>
    </row>
    <row r="13">
      <c r="A13" s="6" t="inlineStr">
        <is>
          <t>Margem para imprevistos</t>
        </is>
      </c>
      <c r="B13" s="15" t="n">
        <v>0.15</v>
      </c>
      <c r="C13" s="6" t="inlineStr">
        <is>
          <t>Recomendado: 15%.</t>
        </is>
      </c>
    </row>
    <row r="14">
      <c r="A14" s="6" t="inlineStr">
        <is>
          <t>Meses de reserva de vida</t>
        </is>
      </c>
      <c r="B14" s="11" t="n">
        <v>6</v>
      </c>
      <c r="C14" s="6" t="inlineStr">
        <is>
          <t>Recomendado: pelo menos 6 meses.</t>
        </is>
      </c>
    </row>
    <row r="15">
      <c r="A15" s="6" t="inlineStr">
        <is>
          <t>Dinheiro disponível hoje para a mudança (R$)</t>
        </is>
      </c>
      <c r="B15" s="16" t="n">
        <v>0</v>
      </c>
      <c r="C15" s="6" t="inlineStr">
        <is>
          <t>Quanto você tem guardado para o projeto.</t>
        </is>
      </c>
    </row>
  </sheetData>
  <dataValidations count="1">
    <dataValidation sqref="B10" showDropDown="0" showInputMessage="0" showErrorMessage="0" allowBlank="0" type="list">
      <formula1>"Mercosul,Geral"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0" customWidth="1" min="2" max="2"/>
    <col width="18" customWidth="1" min="3" max="3"/>
    <col width="22" customWidth="1" min="4" max="4"/>
    <col width="16" customWidth="1" min="5" max="5"/>
  </cols>
  <sheetData>
    <row r="1">
      <c r="A1" s="4" t="inlineStr">
        <is>
          <t>Taxas oficiais da Dirección Nacional de Migraciones</t>
        </is>
      </c>
    </row>
    <row r="2">
      <c r="A2" t="inlineStr">
        <is>
          <t>Vigência: desde 01/07/2026 · Decreto nº 6225/2026 · Resolução DNM nº 478/2026 · Jornal mínimo: Gs 117.077. Fonte: migraciones.gov.py/aranceles-migratorios</t>
        </is>
      </c>
    </row>
    <row r="4">
      <c r="A4" s="5" t="inlineStr">
        <is>
          <t>Procedimento</t>
        </is>
      </c>
      <c r="B4" s="5" t="inlineStr">
        <is>
          <t>Jornais</t>
        </is>
      </c>
      <c r="C4" s="5" t="inlineStr">
        <is>
          <t>Dinheiro (Gs)</t>
        </is>
      </c>
      <c r="D4" s="5" t="inlineStr">
        <is>
          <t>Débito nac./internac. (Gs)</t>
        </is>
      </c>
      <c r="E4" s="5" t="inlineStr">
        <is>
          <t>Dinheiro (R$ aprox.)</t>
        </is>
      </c>
    </row>
    <row r="5">
      <c r="A5" s="6" t="inlineStr">
        <is>
          <t>Residência temporária — Acordo Mercosul</t>
        </is>
      </c>
      <c r="B5" s="6" t="n">
        <v>20</v>
      </c>
      <c r="C5" s="17" t="n">
        <v>2341540</v>
      </c>
      <c r="D5" s="17" t="n">
        <v>2393054</v>
      </c>
      <c r="E5" s="7">
        <f>C5/GsPorReal</f>
        <v/>
      </c>
    </row>
    <row r="6">
      <c r="A6" s="18" t="inlineStr">
        <is>
          <t>Residência temporária — Lei 6.984/2022 (inclui precária)</t>
        </is>
      </c>
      <c r="B6" s="18" t="n">
        <v>25</v>
      </c>
      <c r="C6" s="19" t="n">
        <v>2926925</v>
      </c>
      <c r="D6" s="19" t="n">
        <v>2991317</v>
      </c>
      <c r="E6" s="20">
        <f>C6/GsPorReal</f>
        <v/>
      </c>
    </row>
    <row r="7">
      <c r="A7" s="6" t="inlineStr">
        <is>
          <t>Residência permanente (inclui mudança de categoria)</t>
        </is>
      </c>
      <c r="B7" s="6" t="n">
        <v>25</v>
      </c>
      <c r="C7" s="17" t="n">
        <v>2926925</v>
      </c>
      <c r="D7" s="17" t="n">
        <v>2991317</v>
      </c>
      <c r="E7" s="7">
        <f>C7/GsPorReal</f>
        <v/>
      </c>
    </row>
    <row r="8">
      <c r="A8" s="18" t="inlineStr">
        <is>
          <t>Prorrogação de residência temporária</t>
        </is>
      </c>
      <c r="B8" s="18" t="n">
        <v>11</v>
      </c>
      <c r="C8" s="19" t="n">
        <v>1287847</v>
      </c>
      <c r="D8" s="19" t="n">
        <v>1316180</v>
      </c>
      <c r="E8" s="20">
        <f>C8/GsPorReal</f>
        <v/>
      </c>
    </row>
    <row r="9">
      <c r="A9" s="6" t="inlineStr">
        <is>
          <t>Certificado de radicación</t>
        </is>
      </c>
      <c r="B9" s="6" t="n">
        <v>2</v>
      </c>
      <c r="C9" s="17" t="n">
        <v>234154</v>
      </c>
      <c r="D9" s="17" t="n">
        <v>239305</v>
      </c>
      <c r="E9" s="7">
        <f>C9/GsPorReal</f>
        <v/>
      </c>
    </row>
    <row r="10">
      <c r="A10" s="18" t="inlineStr">
        <is>
          <t>Certificado de movimento migratório</t>
        </is>
      </c>
      <c r="B10" s="18" t="n">
        <v>2</v>
      </c>
      <c r="C10" s="19" t="n">
        <v>234154</v>
      </c>
      <c r="D10" s="19" t="n">
        <v>239305</v>
      </c>
      <c r="E10" s="20">
        <f>C10/GsPorReal</f>
        <v/>
      </c>
    </row>
    <row r="11">
      <c r="A11" s="6" t="inlineStr">
        <is>
          <t>Prorrogação de permanência (turista)</t>
        </is>
      </c>
      <c r="B11" s="6" t="n">
        <v>5</v>
      </c>
      <c r="C11" s="17" t="n">
        <v>585385</v>
      </c>
      <c r="D11" s="17" t="n">
        <v>598263</v>
      </c>
      <c r="E11" s="7">
        <f>C11/GsPorReal</f>
        <v/>
      </c>
    </row>
    <row r="12">
      <c r="A12" s="18" t="inlineStr">
        <is>
          <t>Reposição de carnet de residente</t>
        </is>
      </c>
      <c r="B12" s="18" t="n">
        <v>5</v>
      </c>
      <c r="C12" s="19" t="n">
        <v>585385</v>
      </c>
      <c r="D12" s="19" t="n">
        <v>598263</v>
      </c>
      <c r="E12" s="20">
        <f>C12/GsPorReal</f>
        <v/>
      </c>
    </row>
    <row r="13">
      <c r="A13" s="6" t="inlineStr">
        <is>
          <t>Renovação de carnet de residente permanente</t>
        </is>
      </c>
      <c r="B13" s="6" t="n">
        <v>4</v>
      </c>
      <c r="C13" s="17" t="n">
        <v>468308</v>
      </c>
      <c r="D13" s="17" t="n">
        <v>478611</v>
      </c>
      <c r="E13" s="7">
        <f>C13/GsPorReal</f>
        <v/>
      </c>
    </row>
    <row r="14">
      <c r="A14" s="18" t="inlineStr">
        <is>
          <t>Multa por vencimento do prazo de estadia</t>
        </is>
      </c>
      <c r="B14" s="18" t="n">
        <v>6</v>
      </c>
      <c r="C14" s="19" t="n">
        <v>702462</v>
      </c>
      <c r="D14" s="19" t="n">
        <v>717916</v>
      </c>
      <c r="E14" s="20">
        <f>C14/GsPorReal</f>
        <v/>
      </c>
    </row>
    <row r="15">
      <c r="A15" s="6" t="inlineStr">
        <is>
          <t>Multa por falta de registro de ingresso</t>
        </is>
      </c>
      <c r="B15" s="6" t="n">
        <v>6</v>
      </c>
      <c r="C15" s="17" t="n">
        <v>702462</v>
      </c>
      <c r="D15" s="17" t="n">
        <v>717916</v>
      </c>
      <c r="E15" s="7">
        <f>C15/GsPorReal</f>
        <v/>
      </c>
    </row>
    <row r="17">
      <c r="A17" s="10" t="inlineStr">
        <is>
          <t>Pagamento com cartão de crédito tem valores próprios (acréscimo de 2,5% nacional e 3% internacional, aprox.). Em dinheiro, somente guaranis.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6" customWidth="1" min="2" max="2"/>
    <col width="9" customWidth="1" min="3" max="3"/>
    <col width="16" customWidth="1" min="4" max="4"/>
    <col width="10" customWidth="1" min="5" max="5"/>
    <col width="16" customWidth="1" min="6" max="6"/>
    <col width="18" customWidth="1" min="7" max="7"/>
    <col width="14" customWidth="1" min="8" max="8"/>
    <col width="14" customWidth="1" min="9" max="9"/>
    <col width="46" customWidth="1" min="10" max="10"/>
  </cols>
  <sheetData>
    <row r="1">
      <c r="A1" s="4" t="inlineStr">
        <is>
          <t>Custos da mudança</t>
        </is>
      </c>
    </row>
    <row r="2">
      <c r="A2" t="inlineStr">
        <is>
          <t>Preencha as células amarelas. 'Moeda': R$, Gs ou US$. O total em reais é calculado automaticamente.</t>
        </is>
      </c>
    </row>
    <row r="4">
      <c r="A4" s="5" t="inlineStr">
        <is>
          <t>Categoria</t>
        </is>
      </c>
      <c r="B4" s="5" t="inlineStr">
        <is>
          <t>Item</t>
        </is>
      </c>
      <c r="C4" s="5" t="inlineStr">
        <is>
          <t>Moeda</t>
        </is>
      </c>
      <c r="D4" s="5" t="inlineStr">
        <is>
          <t>Valor unitário</t>
        </is>
      </c>
      <c r="E4" s="5" t="inlineStr">
        <is>
          <t>Quantidade</t>
        </is>
      </c>
      <c r="F4" s="5" t="inlineStr">
        <is>
          <t>Total previsto (R$)</t>
        </is>
      </c>
      <c r="G4" s="5" t="inlineStr">
        <is>
          <t>Valor real pago (R$)</t>
        </is>
      </c>
      <c r="H4" s="5" t="inlineStr">
        <is>
          <t>Diferença (R$)</t>
        </is>
      </c>
      <c r="I4" s="5" t="inlineStr">
        <is>
          <t>Status</t>
        </is>
      </c>
      <c r="J4" s="5" t="inlineStr">
        <is>
          <t>Onde descobrir o valor</t>
        </is>
      </c>
    </row>
    <row r="5">
      <c r="A5" s="21" t="inlineStr">
        <is>
          <t>1. Documentos no Brasil</t>
        </is>
      </c>
      <c r="B5" s="22" t="inlineStr">
        <is>
          <t>Certidão de nascimento (2ª via atualizada)</t>
        </is>
      </c>
      <c r="C5" s="23" t="inlineStr">
        <is>
          <t>R$</t>
        </is>
      </c>
      <c r="D5" s="24" t="n"/>
      <c r="E5" s="21">
        <f>Pessoas</f>
        <v/>
      </c>
      <c r="F5" s="25">
        <f>IF(D5="","",IF(C5="R$",D5*E5,IF(C5="Gs",D5*E5/GsPorReal,IF(C5="US$",D5*E5*GsPorDolar/GsPorReal,""))))</f>
        <v/>
      </c>
      <c r="G5" s="26" t="n"/>
      <c r="H5" s="25">
        <f>IF(G5="","",G5-N(F5))</f>
        <v/>
      </c>
      <c r="I5" s="23" t="inlineStr">
        <is>
          <t>A pagar</t>
        </is>
      </c>
      <c r="J5" s="22" t="inlineStr">
        <is>
          <t>Cartório ou registrocivil.org.br</t>
        </is>
      </c>
    </row>
    <row r="6">
      <c r="A6" s="21" t="inlineStr">
        <is>
          <t>1. Documentos no Brasil</t>
        </is>
      </c>
      <c r="B6" s="22" t="inlineStr">
        <is>
          <t>Certidão de casamento/divórcio</t>
        </is>
      </c>
      <c r="C6" s="23" t="inlineStr">
        <is>
          <t>R$</t>
        </is>
      </c>
      <c r="D6" s="24" t="n"/>
      <c r="E6" s="21">
        <f>TemCasamento</f>
        <v/>
      </c>
      <c r="F6" s="25">
        <f>IF(D6="","",IF(C6="R$",D6*E6,IF(C6="Gs",D6*E6/GsPorReal,IF(C6="US$",D6*E6*GsPorDolar/GsPorReal,""))))</f>
        <v/>
      </c>
      <c r="G6" s="26" t="n"/>
      <c r="H6" s="25">
        <f>IF(G6="","",G6-N(F6))</f>
        <v/>
      </c>
      <c r="I6" s="23" t="inlineStr">
        <is>
          <t>A pagar</t>
        </is>
      </c>
      <c r="J6" s="22" t="inlineStr">
        <is>
          <t>Cartório de Registro Civil</t>
        </is>
      </c>
    </row>
    <row r="7">
      <c r="A7" s="21" t="inlineStr">
        <is>
          <t>1. Documentos no Brasil</t>
        </is>
      </c>
      <c r="B7" s="22" t="inlineStr">
        <is>
          <t>Certidão de antecedentes da Polícia Federal</t>
        </is>
      </c>
      <c r="C7" s="23" t="inlineStr">
        <is>
          <t>R$</t>
        </is>
      </c>
      <c r="D7" s="24" t="n">
        <v>0</v>
      </c>
      <c r="E7" s="21">
        <f>Pessoas14mais</f>
        <v/>
      </c>
      <c r="F7" s="25">
        <f>IF(D7="","",IF(C7="R$",D7*E7,IF(C7="Gs",D7*E7/GsPorReal,IF(C7="US$",D7*E7*GsPorDolar/GsPorReal,""))))</f>
        <v/>
      </c>
      <c r="G7" s="26" t="n"/>
      <c r="H7" s="25">
        <f>IF(G7="","",G7-N(F7))</f>
        <v/>
      </c>
      <c r="I7" s="23" t="inlineStr">
        <is>
          <t>A pagar</t>
        </is>
      </c>
      <c r="J7" s="22" t="inlineStr">
        <is>
          <t>Gratuita no gov.br</t>
        </is>
      </c>
    </row>
    <row r="8">
      <c r="A8" s="21" t="inlineStr">
        <is>
          <t>1. Documentos no Brasil</t>
        </is>
      </c>
      <c r="B8" s="22" t="inlineStr">
        <is>
          <t>Apostila — certidões de nascimento</t>
        </is>
      </c>
      <c r="C8" s="23" t="inlineStr">
        <is>
          <t>R$</t>
        </is>
      </c>
      <c r="D8" s="24" t="n"/>
      <c r="E8" s="21">
        <f>Pessoas</f>
        <v/>
      </c>
      <c r="F8" s="25">
        <f>IF(D8="","",IF(C8="R$",D8*E8,IF(C8="Gs",D8*E8/GsPorReal,IF(C8="US$",D8*E8*GsPorDolar/GsPorReal,""))))</f>
        <v/>
      </c>
      <c r="G8" s="26" t="n"/>
      <c r="H8" s="25">
        <f>IF(G8="","",G8-N(F8))</f>
        <v/>
      </c>
      <c r="I8" s="23" t="inlineStr">
        <is>
          <t>A pagar</t>
        </is>
      </c>
      <c r="J8" s="22" t="inlineStr">
        <is>
          <t>Tabela do cartório do seu estado</t>
        </is>
      </c>
    </row>
    <row r="9">
      <c r="A9" s="21" t="inlineStr">
        <is>
          <t>1. Documentos no Brasil</t>
        </is>
      </c>
      <c r="B9" s="22" t="inlineStr">
        <is>
          <t>Apostila — certidão de casamento/divórcio</t>
        </is>
      </c>
      <c r="C9" s="23" t="inlineStr">
        <is>
          <t>R$</t>
        </is>
      </c>
      <c r="D9" s="24" t="n"/>
      <c r="E9" s="21">
        <f>TemCasamento</f>
        <v/>
      </c>
      <c r="F9" s="25">
        <f>IF(D9="","",IF(C9="R$",D9*E9,IF(C9="Gs",D9*E9/GsPorReal,IF(C9="US$",D9*E9*GsPorDolar/GsPorReal,""))))</f>
        <v/>
      </c>
      <c r="G9" s="26" t="n"/>
      <c r="H9" s="25">
        <f>IF(G9="","",G9-N(F9))</f>
        <v/>
      </c>
      <c r="I9" s="23" t="inlineStr">
        <is>
          <t>A pagar</t>
        </is>
      </c>
      <c r="J9" s="22" t="inlineStr">
        <is>
          <t>Tabela do cartório do seu estado</t>
        </is>
      </c>
    </row>
    <row r="10">
      <c r="A10" s="21" t="inlineStr">
        <is>
          <t>1. Documentos no Brasil</t>
        </is>
      </c>
      <c r="B10" s="22" t="inlineStr">
        <is>
          <t>Apostila — certidões de antecedentes</t>
        </is>
      </c>
      <c r="C10" s="23" t="inlineStr">
        <is>
          <t>R$</t>
        </is>
      </c>
      <c r="D10" s="24" t="n"/>
      <c r="E10" s="21">
        <f>Pessoas14mais</f>
        <v/>
      </c>
      <c r="F10" s="25">
        <f>IF(D10="","",IF(C10="R$",D10*E10,IF(C10="Gs",D10*E10/GsPorReal,IF(C10="US$",D10*E10*GsPorDolar/GsPorReal,""))))</f>
        <v/>
      </c>
      <c r="G10" s="26" t="n"/>
      <c r="H10" s="25">
        <f>IF(G10="","",G10-N(F10))</f>
        <v/>
      </c>
      <c r="I10" s="23" t="inlineStr">
        <is>
          <t>A pagar</t>
        </is>
      </c>
      <c r="J10" s="22" t="inlineStr">
        <is>
          <t>Tabela do cartório do seu estado</t>
        </is>
      </c>
    </row>
    <row r="11">
      <c r="A11" s="21" t="inlineStr">
        <is>
          <t>1. Documentos no Brasil</t>
        </is>
      </c>
      <c r="B11" s="22" t="inlineStr">
        <is>
          <t>Autorização de viagem de menor (firma reconhecida)</t>
        </is>
      </c>
      <c r="C11" s="23" t="inlineStr">
        <is>
          <t>R$</t>
        </is>
      </c>
      <c r="D11" s="24" t="n"/>
      <c r="E11" s="23" t="n">
        <v>0</v>
      </c>
      <c r="F11" s="25">
        <f>IF(D11="","",IF(C11="R$",D11*E11,IF(C11="Gs",D11*E11/GsPorReal,IF(C11="US$",D11*E11*GsPorDolar/GsPorReal,""))))</f>
        <v/>
      </c>
      <c r="G11" s="26" t="n"/>
      <c r="H11" s="25">
        <f>IF(G11="","",G11-N(F11))</f>
        <v/>
      </c>
      <c r="I11" s="23" t="inlineStr">
        <is>
          <t>A pagar</t>
        </is>
      </c>
      <c r="J11" s="22" t="inlineStr">
        <is>
          <t>Cartório de notas</t>
        </is>
      </c>
    </row>
    <row r="12">
      <c r="A12" s="21" t="inlineStr">
        <is>
          <t>1. Documentos no Brasil</t>
        </is>
      </c>
      <c r="B12" s="22" t="inlineStr">
        <is>
          <t>Passaporte ou CIN (se precisar emitir)</t>
        </is>
      </c>
      <c r="C12" s="23" t="inlineStr">
        <is>
          <t>R$</t>
        </is>
      </c>
      <c r="D12" s="24" t="n"/>
      <c r="E12" s="23" t="n">
        <v>0</v>
      </c>
      <c r="F12" s="25">
        <f>IF(D12="","",IF(C12="R$",D12*E12,IF(C12="Gs",D12*E12/GsPorReal,IF(C12="US$",D12*E12*GsPorDolar/GsPorReal,""))))</f>
        <v/>
      </c>
      <c r="G12" s="26" t="n"/>
      <c r="H12" s="25">
        <f>IF(G12="","",G12-N(F12))</f>
        <v/>
      </c>
      <c r="I12" s="23" t="inlineStr">
        <is>
          <t>A pagar</t>
        </is>
      </c>
      <c r="J12" s="22" t="inlineStr">
        <is>
          <t>gov.br/pf (passaporte)</t>
        </is>
      </c>
    </row>
    <row r="13">
      <c r="A13" s="21" t="inlineStr">
        <is>
          <t>1. Documentos no Brasil</t>
        </is>
      </c>
      <c r="B13" s="22" t="inlineStr">
        <is>
          <t>Cópias, impressões e pasta</t>
        </is>
      </c>
      <c r="C13" s="23" t="inlineStr">
        <is>
          <t>R$</t>
        </is>
      </c>
      <c r="D13" s="24" t="n"/>
      <c r="E13" s="23" t="n">
        <v>1</v>
      </c>
      <c r="F13" s="25">
        <f>IF(D13="","",IF(C13="R$",D13*E13,IF(C13="Gs",D13*E13/GsPorReal,IF(C13="US$",D13*E13*GsPorDolar/GsPorReal,""))))</f>
        <v/>
      </c>
      <c r="G13" s="26" t="n"/>
      <c r="H13" s="25">
        <f>IF(G13="","",G13-N(F13))</f>
        <v/>
      </c>
      <c r="I13" s="23" t="inlineStr">
        <is>
          <t>A pagar</t>
        </is>
      </c>
      <c r="J13" s="22" t="inlineStr">
        <is>
          <t>Papelaria</t>
        </is>
      </c>
    </row>
    <row r="14">
      <c r="A14" s="21" t="inlineStr">
        <is>
          <t>2. Taxas no Paraguai</t>
        </is>
      </c>
      <c r="B14" s="22" t="inlineStr">
        <is>
          <t>Residência temporária (DNM) — calculada pela rota</t>
        </is>
      </c>
      <c r="C14" s="23" t="inlineStr">
        <is>
          <t>Gs</t>
        </is>
      </c>
      <c r="D14" s="27">
        <f>IF(Rota="Mercosul",TaxaMercosul,TaxaGeral)</f>
        <v/>
      </c>
      <c r="E14" s="21">
        <f>Pessoas</f>
        <v/>
      </c>
      <c r="F14" s="25">
        <f>IF(D14="","",IF(C14="R$",D14*E14,IF(C14="Gs",D14*E14/GsPorReal,IF(C14="US$",D14*E14*GsPorDolar/GsPorReal,""))))</f>
        <v/>
      </c>
      <c r="G14" s="26" t="n"/>
      <c r="H14" s="25">
        <f>IF(G14="","",G14-N(F14))</f>
        <v/>
      </c>
      <c r="I14" s="23" t="inlineStr">
        <is>
          <t>A pagar</t>
        </is>
      </c>
      <c r="J14" s="22" t="inlineStr">
        <is>
          <t>Aba 'Taxas oficiais'</t>
        </is>
      </c>
    </row>
    <row r="15">
      <c r="A15" s="21" t="inlineStr">
        <is>
          <t>2. Taxas no Paraguai</t>
        </is>
      </c>
      <c r="B15" s="22" t="inlineStr">
        <is>
          <t>Antecedentes para estrangeiros — Policía Nacional</t>
        </is>
      </c>
      <c r="C15" s="23" t="inlineStr">
        <is>
          <t>Gs</t>
        </is>
      </c>
      <c r="D15" s="24" t="n"/>
      <c r="E15" s="21">
        <f>Pessoas14mais</f>
        <v/>
      </c>
      <c r="F15" s="25">
        <f>IF(D15="","",IF(C15="R$",D15*E15,IF(C15="Gs",D15*E15/GsPorReal,IF(C15="US$",D15*E15*GsPorDolar/GsPorReal,""))))</f>
        <v/>
      </c>
      <c r="G15" s="26" t="n"/>
      <c r="H15" s="25">
        <f>IF(G15="","",G15-N(F15))</f>
        <v/>
      </c>
      <c r="I15" s="23" t="inlineStr">
        <is>
          <t>A pagar</t>
        </is>
      </c>
      <c r="J15" s="22" t="inlineStr">
        <is>
          <t>Policía Nacional (confirme o valor)</t>
        </is>
      </c>
    </row>
    <row r="16">
      <c r="A16" s="21" t="inlineStr">
        <is>
          <t>2. Taxas no Paraguai</t>
        </is>
      </c>
      <c r="B16" s="22" t="inlineStr">
        <is>
          <t>Certificado da Interpol (só rota geral)</t>
        </is>
      </c>
      <c r="C16" s="23" t="inlineStr">
        <is>
          <t>Gs</t>
        </is>
      </c>
      <c r="D16" s="24" t="n"/>
      <c r="E16" s="21">
        <f>IF(Rota="Geral",Pessoas14mais,0)</f>
        <v/>
      </c>
      <c r="F16" s="25">
        <f>IF(D16="","",IF(C16="R$",D16*E16,IF(C16="Gs",D16*E16/GsPorReal,IF(C16="US$",D16*E16*GsPorDolar/GsPorReal,""))))</f>
        <v/>
      </c>
      <c r="G16" s="26" t="n"/>
      <c r="H16" s="25">
        <f>IF(G16="","",G16-N(F16))</f>
        <v/>
      </c>
      <c r="I16" s="23" t="inlineStr">
        <is>
          <t>A pagar</t>
        </is>
      </c>
      <c r="J16" s="22" t="inlineStr">
        <is>
          <t>Policía Nacional / Interpol</t>
        </is>
      </c>
    </row>
    <row r="17">
      <c r="A17" s="21" t="inlineStr">
        <is>
          <t>2. Taxas no Paraguai</t>
        </is>
      </c>
      <c r="B17" s="22" t="inlineStr">
        <is>
          <t>Certificado de radicación</t>
        </is>
      </c>
      <c r="C17" s="23" t="inlineStr">
        <is>
          <t>Gs</t>
        </is>
      </c>
      <c r="D17" s="27">
        <f>TaxaRadicacion</f>
        <v/>
      </c>
      <c r="E17" s="23" t="n">
        <v>0</v>
      </c>
      <c r="F17" s="25">
        <f>IF(D17="","",IF(C17="R$",D17*E17,IF(C17="Gs",D17*E17/GsPorReal,IF(C17="US$",D17*E17*GsPorDolar/GsPorReal,""))))</f>
        <v/>
      </c>
      <c r="G17" s="26" t="n"/>
      <c r="H17" s="25">
        <f>IF(G17="","",G17-N(F17))</f>
        <v/>
      </c>
      <c r="I17" s="23" t="inlineStr">
        <is>
          <t>A pagar</t>
        </is>
      </c>
      <c r="J17" s="22" t="inlineStr">
        <is>
          <t>Aba 'Taxas oficiais' (se precisar)</t>
        </is>
      </c>
    </row>
    <row r="18">
      <c r="A18" s="21" t="inlineStr">
        <is>
          <t>2. Taxas no Paraguai</t>
        </is>
      </c>
      <c r="B18" s="22" t="inlineStr">
        <is>
          <t>Cédula de identidad</t>
        </is>
      </c>
      <c r="C18" s="23" t="inlineStr">
        <is>
          <t>Gs</t>
        </is>
      </c>
      <c r="D18" s="24" t="n"/>
      <c r="E18" s="21">
        <f>Pessoas</f>
        <v/>
      </c>
      <c r="F18" s="25">
        <f>IF(D18="","",IF(C18="R$",D18*E18,IF(C18="Gs",D18*E18/GsPorReal,IF(C18="US$",D18*E18*GsPorDolar/GsPorReal,""))))</f>
        <v/>
      </c>
      <c r="G18" s="26" t="n"/>
      <c r="H18" s="25">
        <f>IF(G18="","",G18-N(F18))</f>
        <v/>
      </c>
      <c r="I18" s="23" t="inlineStr">
        <is>
          <t>A pagar</t>
        </is>
      </c>
      <c r="J18" s="22" t="inlineStr">
        <is>
          <t>Departamento de Identificaciones</t>
        </is>
      </c>
    </row>
    <row r="19">
      <c r="A19" s="21" t="inlineStr">
        <is>
          <t>2. Taxas no Paraguai</t>
        </is>
      </c>
      <c r="B19" s="22" t="inlineStr">
        <is>
          <t>Cópias autenticadas na escribanía (4 por pessoa)</t>
        </is>
      </c>
      <c r="C19" s="23" t="inlineStr">
        <is>
          <t>Gs</t>
        </is>
      </c>
      <c r="D19" s="24" t="n"/>
      <c r="E19" s="21">
        <f>Pessoas*4</f>
        <v/>
      </c>
      <c r="F19" s="25">
        <f>IF(D19="","",IF(C19="R$",D19*E19,IF(C19="Gs",D19*E19/GsPorReal,IF(C19="US$",D19*E19*GsPorDolar/GsPorReal,""))))</f>
        <v/>
      </c>
      <c r="G19" s="26" t="n"/>
      <c r="H19" s="25">
        <f>IF(G19="","",G19-N(F19))</f>
        <v/>
      </c>
      <c r="I19" s="23" t="inlineStr">
        <is>
          <t>A pagar</t>
        </is>
      </c>
      <c r="J19" s="22" t="inlineStr">
        <is>
          <t>Escribanía local — pergunte o valor por cópia</t>
        </is>
      </c>
    </row>
    <row r="20">
      <c r="A20" s="21" t="inlineStr">
        <is>
          <t>3. Viagem</t>
        </is>
      </c>
      <c r="B20" s="22" t="inlineStr">
        <is>
          <t>Passagens (avião ou ônibus) ou combustível</t>
        </is>
      </c>
      <c r="C20" s="23" t="inlineStr">
        <is>
          <t>R$</t>
        </is>
      </c>
      <c r="D20" s="24" t="n"/>
      <c r="E20" s="21">
        <f>Pessoas</f>
        <v/>
      </c>
      <c r="F20" s="25">
        <f>IF(D20="","",IF(C20="R$",D20*E20,IF(C20="Gs",D20*E20/GsPorReal,IF(C20="US$",D20*E20*GsPorDolar/GsPorReal,""))))</f>
        <v/>
      </c>
      <c r="G20" s="26" t="n"/>
      <c r="H20" s="25">
        <f>IF(G20="","",G20-N(F20))</f>
        <v/>
      </c>
      <c r="I20" s="23" t="inlineStr">
        <is>
          <t>A pagar</t>
        </is>
      </c>
      <c r="J20" s="22" t="inlineStr">
        <is>
          <t>Sites das companhias</t>
        </is>
      </c>
    </row>
    <row r="21">
      <c r="A21" s="21" t="inlineStr">
        <is>
          <t>3. Viagem</t>
        </is>
      </c>
      <c r="B21" s="22" t="inlineStr">
        <is>
          <t>Pedágios, estacionamento, alimentação na estrada</t>
        </is>
      </c>
      <c r="C21" s="23" t="inlineStr">
        <is>
          <t>R$</t>
        </is>
      </c>
      <c r="D21" s="24" t="n"/>
      <c r="E21" s="23" t="n">
        <v>1</v>
      </c>
      <c r="F21" s="25">
        <f>IF(D21="","",IF(C21="R$",D21*E21,IF(C21="Gs",D21*E21/GsPorReal,IF(C21="US$",D21*E21*GsPorDolar/GsPorReal,""))))</f>
        <v/>
      </c>
      <c r="G21" s="26" t="n"/>
      <c r="H21" s="25">
        <f>IF(G21="","",G21-N(F21))</f>
        <v/>
      </c>
      <c r="I21" s="23" t="inlineStr">
        <is>
          <t>A pagar</t>
        </is>
      </c>
      <c r="J21" s="22" t="inlineStr">
        <is>
          <t>Planejamento da rota</t>
        </is>
      </c>
    </row>
    <row r="22">
      <c r="A22" s="21" t="inlineStr">
        <is>
          <t>3. Viagem</t>
        </is>
      </c>
      <c r="B22" s="22" t="inlineStr">
        <is>
          <t>Bagagem extra</t>
        </is>
      </c>
      <c r="C22" s="23" t="inlineStr">
        <is>
          <t>R$</t>
        </is>
      </c>
      <c r="D22" s="24" t="n"/>
      <c r="E22" s="23" t="n">
        <v>1</v>
      </c>
      <c r="F22" s="25">
        <f>IF(D22="","",IF(C22="R$",D22*E22,IF(C22="Gs",D22*E22/GsPorReal,IF(C22="US$",D22*E22*GsPorDolar/GsPorReal,""))))</f>
        <v/>
      </c>
      <c r="G22" s="26" t="n"/>
      <c r="H22" s="25">
        <f>IF(G22="","",G22-N(F22))</f>
        <v/>
      </c>
      <c r="I22" s="23" t="inlineStr">
        <is>
          <t>A pagar</t>
        </is>
      </c>
      <c r="J22" s="22" t="inlineStr">
        <is>
          <t>Companhia aérea / ônibus</t>
        </is>
      </c>
    </row>
    <row r="23">
      <c r="A23" s="21" t="inlineStr">
        <is>
          <t>3. Viagem</t>
        </is>
      </c>
      <c r="B23" s="22" t="inlineStr">
        <is>
          <t>Seguro viagem</t>
        </is>
      </c>
      <c r="C23" s="23" t="inlineStr">
        <is>
          <t>R$</t>
        </is>
      </c>
      <c r="D23" s="24" t="n"/>
      <c r="E23" s="21">
        <f>Pessoas</f>
        <v/>
      </c>
      <c r="F23" s="25">
        <f>IF(D23="","",IF(C23="R$",D23*E23,IF(C23="Gs",D23*E23/GsPorReal,IF(C23="US$",D23*E23*GsPorDolar/GsPorReal,""))))</f>
        <v/>
      </c>
      <c r="G23" s="26" t="n"/>
      <c r="H23" s="25">
        <f>IF(G23="","",G23-N(F23))</f>
        <v/>
      </c>
      <c r="I23" s="23" t="inlineStr">
        <is>
          <t>A pagar</t>
        </is>
      </c>
      <c r="J23" s="22" t="inlineStr">
        <is>
          <t>Cotação em seguradoras</t>
        </is>
      </c>
    </row>
    <row r="24">
      <c r="A24" s="21" t="inlineStr">
        <is>
          <t>3. Viagem</t>
        </is>
      </c>
      <c r="B24" s="22" t="inlineStr">
        <is>
          <t>Transporte local nos primeiros dias (táxi/aplicativo)</t>
        </is>
      </c>
      <c r="C24" s="23" t="inlineStr">
        <is>
          <t>Gs</t>
        </is>
      </c>
      <c r="D24" s="24" t="n"/>
      <c r="E24" s="23" t="n">
        <v>1</v>
      </c>
      <c r="F24" s="25">
        <f>IF(D24="","",IF(C24="R$",D24*E24,IF(C24="Gs",D24*E24/GsPorReal,IF(C24="US$",D24*E24*GsPorDolar/GsPorReal,""))))</f>
        <v/>
      </c>
      <c r="G24" s="26" t="n"/>
      <c r="H24" s="25">
        <f>IF(G24="","",G24-N(F24))</f>
        <v/>
      </c>
      <c r="I24" s="23" t="inlineStr">
        <is>
          <t>A pagar</t>
        </is>
      </c>
      <c r="J24" s="22" t="inlineStr">
        <is>
          <t>Estimativa</t>
        </is>
      </c>
    </row>
    <row r="25">
      <c r="A25" s="21" t="inlineStr">
        <is>
          <t>4. Hospedagem provisória</t>
        </is>
      </c>
      <c r="B25" s="22" t="inlineStr">
        <is>
          <t>Hospedagem dos primeiros 30 dias</t>
        </is>
      </c>
      <c r="C25" s="23" t="inlineStr">
        <is>
          <t>US$</t>
        </is>
      </c>
      <c r="D25" s="24" t="n"/>
      <c r="E25" s="23" t="n">
        <v>1</v>
      </c>
      <c r="F25" s="25">
        <f>IF(D25="","",IF(C25="R$",D25*E25,IF(C25="Gs",D25*E25/GsPorReal,IF(C25="US$",D25*E25*GsPorDolar/GsPorReal,""))))</f>
        <v/>
      </c>
      <c r="G25" s="26" t="n"/>
      <c r="H25" s="25">
        <f>IF(G25="","",G25-N(F25))</f>
        <v/>
      </c>
      <c r="I25" s="23" t="inlineStr">
        <is>
          <t>A pagar</t>
        </is>
      </c>
      <c r="J25" s="22" t="inlineStr">
        <is>
          <t>Plataformas de hospedagem</t>
        </is>
      </c>
    </row>
    <row r="26">
      <c r="A26" s="21" t="inlineStr">
        <is>
          <t>4. Hospedagem provisória</t>
        </is>
      </c>
      <c r="B26" s="22" t="inlineStr">
        <is>
          <t>Alimentação nos primeiros 30 dias</t>
        </is>
      </c>
      <c r="C26" s="23" t="inlineStr">
        <is>
          <t>Gs</t>
        </is>
      </c>
      <c r="D26" s="24" t="n"/>
      <c r="E26" s="23" t="n">
        <v>1</v>
      </c>
      <c r="F26" s="25">
        <f>IF(D26="","",IF(C26="R$",D26*E26,IF(C26="Gs",D26*E26/GsPorReal,IF(C26="US$",D26*E26*GsPorDolar/GsPorReal,""))))</f>
        <v/>
      </c>
      <c r="G26" s="26" t="n"/>
      <c r="H26" s="25">
        <f>IF(G26="","",G26-N(F26))</f>
        <v/>
      </c>
      <c r="I26" s="23" t="inlineStr">
        <is>
          <t>A pagar</t>
        </is>
      </c>
      <c r="J26" s="22" t="inlineStr">
        <is>
          <t>Aba 'Custo mensal'</t>
        </is>
      </c>
    </row>
    <row r="27">
      <c r="A27" s="21" t="inlineStr">
        <is>
          <t>5. Instalação</t>
        </is>
      </c>
      <c r="B27" s="22" t="inlineStr">
        <is>
          <t>Primeiro aluguel</t>
        </is>
      </c>
      <c r="C27" s="23" t="inlineStr">
        <is>
          <t>Gs</t>
        </is>
      </c>
      <c r="D27" s="24" t="n"/>
      <c r="E27" s="23" t="n">
        <v>1</v>
      </c>
      <c r="F27" s="25">
        <f>IF(D27="","",IF(C27="R$",D27*E27,IF(C27="Gs",D27*E27/GsPorReal,IF(C27="US$",D27*E27*GsPorDolar/GsPorReal,""))))</f>
        <v/>
      </c>
      <c r="G27" s="26" t="n"/>
      <c r="H27" s="25">
        <f>IF(G27="","",G27-N(F27))</f>
        <v/>
      </c>
      <c r="I27" s="23" t="inlineStr">
        <is>
          <t>A pagar</t>
        </is>
      </c>
      <c r="J27" s="22" t="inlineStr">
        <is>
          <t>Anúncios reais (ver Bônus 1)</t>
        </is>
      </c>
    </row>
    <row r="28">
      <c r="A28" s="21" t="inlineStr">
        <is>
          <t>5. Instalação</t>
        </is>
      </c>
      <c r="B28" s="22" t="inlineStr">
        <is>
          <t>Depósito / garantia do aluguel</t>
        </is>
      </c>
      <c r="C28" s="23" t="inlineStr">
        <is>
          <t>Gs</t>
        </is>
      </c>
      <c r="D28" s="24" t="n"/>
      <c r="E28" s="23" t="n">
        <v>1</v>
      </c>
      <c r="F28" s="25">
        <f>IF(D28="","",IF(C28="R$",D28*E28,IF(C28="Gs",D28*E28/GsPorReal,IF(C28="US$",D28*E28*GsPorDolar/GsPorReal,""))))</f>
        <v/>
      </c>
      <c r="G28" s="26" t="n"/>
      <c r="H28" s="25">
        <f>IF(G28="","",G28-N(F28))</f>
        <v/>
      </c>
      <c r="I28" s="23" t="inlineStr">
        <is>
          <t>A pagar</t>
        </is>
      </c>
      <c r="J28" s="22" t="inlineStr">
        <is>
          <t>Normalmente 1 a 2 aluguéis</t>
        </is>
      </c>
    </row>
    <row r="29">
      <c r="A29" s="21" t="inlineStr">
        <is>
          <t>5. Instalação</t>
        </is>
      </c>
      <c r="B29" s="22" t="inlineStr">
        <is>
          <t>Comissão de imobiliária (se houver)</t>
        </is>
      </c>
      <c r="C29" s="23" t="inlineStr">
        <is>
          <t>Gs</t>
        </is>
      </c>
      <c r="D29" s="24" t="n"/>
      <c r="E29" s="23" t="n">
        <v>1</v>
      </c>
      <c r="F29" s="25">
        <f>IF(D29="","",IF(C29="R$",D29*E29,IF(C29="Gs",D29*E29/GsPorReal,IF(C29="US$",D29*E29*GsPorDolar/GsPorReal,""))))</f>
        <v/>
      </c>
      <c r="G29" s="26" t="n"/>
      <c r="H29" s="25">
        <f>IF(G29="","",G29-N(F29))</f>
        <v/>
      </c>
      <c r="I29" s="23" t="inlineStr">
        <is>
          <t>A pagar</t>
        </is>
      </c>
      <c r="J29" s="22" t="inlineStr">
        <is>
          <t>Pergunte antes de visitar</t>
        </is>
      </c>
    </row>
    <row r="30">
      <c r="A30" s="21" t="inlineStr">
        <is>
          <t>5. Instalação</t>
        </is>
      </c>
      <c r="B30" s="22" t="inlineStr">
        <is>
          <t>Móveis e eletrodomésticos básicos</t>
        </is>
      </c>
      <c r="C30" s="23" t="inlineStr">
        <is>
          <t>Gs</t>
        </is>
      </c>
      <c r="D30" s="24" t="n"/>
      <c r="E30" s="23" t="n">
        <v>1</v>
      </c>
      <c r="F30" s="25">
        <f>IF(D30="","",IF(C30="R$",D30*E30,IF(C30="Gs",D30*E30/GsPorReal,IF(C30="US$",D30*E30*GsPorDolar/GsPorReal,""))))</f>
        <v/>
      </c>
      <c r="G30" s="26" t="n"/>
      <c r="H30" s="25">
        <f>IF(G30="","",G30-N(F30))</f>
        <v/>
      </c>
      <c r="I30" s="23" t="inlineStr">
        <is>
          <t>A pagar</t>
        </is>
      </c>
      <c r="J30" s="22" t="inlineStr">
        <is>
          <t>Lojas e classificados</t>
        </is>
      </c>
    </row>
    <row r="31">
      <c r="A31" s="21" t="inlineStr">
        <is>
          <t>5. Instalação</t>
        </is>
      </c>
      <c r="B31" s="22" t="inlineStr">
        <is>
          <t>Utensílios, cama, mesa e banho</t>
        </is>
      </c>
      <c r="C31" s="23" t="inlineStr">
        <is>
          <t>Gs</t>
        </is>
      </c>
      <c r="D31" s="24" t="n"/>
      <c r="E31" s="23" t="n">
        <v>1</v>
      </c>
      <c r="F31" s="25">
        <f>IF(D31="","",IF(C31="R$",D31*E31,IF(C31="Gs",D31*E31/GsPorReal,IF(C31="US$",D31*E31*GsPorDolar/GsPorReal,""))))</f>
        <v/>
      </c>
      <c r="G31" s="26" t="n"/>
      <c r="H31" s="25">
        <f>IF(G31="","",G31-N(F31))</f>
        <v/>
      </c>
      <c r="I31" s="23" t="inlineStr">
        <is>
          <t>A pagar</t>
        </is>
      </c>
      <c r="J31" s="22" t="inlineStr">
        <is>
          <t>Lojas locais</t>
        </is>
      </c>
    </row>
    <row r="32">
      <c r="A32" s="21" t="inlineStr">
        <is>
          <t>5. Instalação</t>
        </is>
      </c>
      <c r="B32" s="22" t="inlineStr">
        <is>
          <t>Chip de celular e primeiro plano</t>
        </is>
      </c>
      <c r="C32" s="23" t="inlineStr">
        <is>
          <t>Gs</t>
        </is>
      </c>
      <c r="D32" s="24" t="n"/>
      <c r="E32" s="21">
        <f>Adultos</f>
        <v/>
      </c>
      <c r="F32" s="25">
        <f>IF(D32="","",IF(C32="R$",D32*E32,IF(C32="Gs",D32*E32/GsPorReal,IF(C32="US$",D32*E32*GsPorDolar/GsPorReal,""))))</f>
        <v/>
      </c>
      <c r="G32" s="26" t="n"/>
      <c r="H32" s="25">
        <f>IF(G32="","",G32-N(F32))</f>
        <v/>
      </c>
      <c r="I32" s="23" t="inlineStr">
        <is>
          <t>A pagar</t>
        </is>
      </c>
      <c r="J32" s="22" t="inlineStr">
        <is>
          <t>Tigo, Personal, Claro</t>
        </is>
      </c>
    </row>
    <row r="33">
      <c r="A33" s="21" t="inlineStr">
        <is>
          <t>5. Instalação</t>
        </is>
      </c>
      <c r="B33" s="22" t="inlineStr">
        <is>
          <t>Instalação de internet</t>
        </is>
      </c>
      <c r="C33" s="23" t="inlineStr">
        <is>
          <t>Gs</t>
        </is>
      </c>
      <c r="D33" s="24" t="n"/>
      <c r="E33" s="23" t="n">
        <v>1</v>
      </c>
      <c r="F33" s="25">
        <f>IF(D33="","",IF(C33="R$",D33*E33,IF(C33="Gs",D33*E33/GsPorReal,IF(C33="US$",D33*E33*GsPorDolar/GsPorReal,""))))</f>
        <v/>
      </c>
      <c r="G33" s="26" t="n"/>
      <c r="H33" s="25">
        <f>IF(G33="","",G33-N(F33))</f>
        <v/>
      </c>
      <c r="I33" s="23" t="inlineStr">
        <is>
          <t>A pagar</t>
        </is>
      </c>
      <c r="J33" s="22" t="inlineStr">
        <is>
          <t>Operadoras locais</t>
        </is>
      </c>
    </row>
    <row r="34">
      <c r="A34" s="21" t="inlineStr">
        <is>
          <t>5. Instalação</t>
        </is>
      </c>
      <c r="B34" s="22" t="inlineStr">
        <is>
          <t>Transporte da mudança (frete), se houver</t>
        </is>
      </c>
      <c r="C34" s="23" t="inlineStr">
        <is>
          <t>R$</t>
        </is>
      </c>
      <c r="D34" s="24" t="n"/>
      <c r="E34" s="23" t="n">
        <v>0</v>
      </c>
      <c r="F34" s="25">
        <f>IF(D34="","",IF(C34="R$",D34*E34,IF(C34="Gs",D34*E34/GsPorReal,IF(C34="US$",D34*E34*GsPorDolar/GsPorReal,""))))</f>
        <v/>
      </c>
      <c r="G34" s="26" t="n"/>
      <c r="H34" s="25">
        <f>IF(G34="","",G34-N(F34))</f>
        <v/>
      </c>
      <c r="I34" s="23" t="inlineStr">
        <is>
          <t>A pagar</t>
        </is>
      </c>
      <c r="J34" s="22" t="inlineStr">
        <is>
          <t>Orçamento com transportadora</t>
        </is>
      </c>
    </row>
    <row r="35">
      <c r="A35" s="21" t="inlineStr">
        <is>
          <t>6. Outros</t>
        </is>
      </c>
      <c r="B35" s="22" t="inlineStr">
        <is>
          <t>Contador (Brasil — saída definitiva)</t>
        </is>
      </c>
      <c r="C35" s="23" t="inlineStr">
        <is>
          <t>R$</t>
        </is>
      </c>
      <c r="D35" s="24" t="n"/>
      <c r="E35" s="23" t="n">
        <v>0</v>
      </c>
      <c r="F35" s="25">
        <f>IF(D35="","",IF(C35="R$",D35*E35,IF(C35="Gs",D35*E35/GsPorReal,IF(C35="US$",D35*E35*GsPorDolar/GsPorReal,""))))</f>
        <v/>
      </c>
      <c r="G35" s="26" t="n"/>
      <c r="H35" s="25">
        <f>IF(G35="","",G35-N(F35))</f>
        <v/>
      </c>
      <c r="I35" s="23" t="inlineStr">
        <is>
          <t>A pagar</t>
        </is>
      </c>
      <c r="J35" s="22" t="inlineStr">
        <is>
          <t>Orçamento com contador</t>
        </is>
      </c>
    </row>
    <row r="36">
      <c r="A36" s="21" t="inlineStr">
        <is>
          <t>6. Outros</t>
        </is>
      </c>
      <c r="B36" s="22" t="inlineStr">
        <is>
          <t>Gestor ou advogado no Paraguai (opcional)</t>
        </is>
      </c>
      <c r="C36" s="23" t="inlineStr">
        <is>
          <t>US$</t>
        </is>
      </c>
      <c r="D36" s="24" t="n"/>
      <c r="E36" s="23" t="n">
        <v>0</v>
      </c>
      <c r="F36" s="25">
        <f>IF(D36="","",IF(C36="R$",D36*E36,IF(C36="Gs",D36*E36/GsPorReal,IF(C36="US$",D36*E36*GsPorDolar/GsPorReal,""))))</f>
        <v/>
      </c>
      <c r="G36" s="26" t="n"/>
      <c r="H36" s="25">
        <f>IF(G36="","",G36-N(F36))</f>
        <v/>
      </c>
      <c r="I36" s="23" t="inlineStr">
        <is>
          <t>A pagar</t>
        </is>
      </c>
      <c r="J36" s="22" t="inlineStr">
        <is>
          <t>Orçamento por escrito</t>
        </is>
      </c>
    </row>
    <row r="37">
      <c r="A37" s="21" t="inlineStr">
        <is>
          <t>6. Outros</t>
        </is>
      </c>
      <c r="B37" s="22" t="inlineStr">
        <is>
          <t>Pet: exames e certificado veterinário</t>
        </is>
      </c>
      <c r="C37" s="23" t="inlineStr">
        <is>
          <t>R$</t>
        </is>
      </c>
      <c r="D37" s="24" t="n"/>
      <c r="E37" s="23" t="n">
        <v>0</v>
      </c>
      <c r="F37" s="25">
        <f>IF(D37="","",IF(C37="R$",D37*E37,IF(C37="Gs",D37*E37/GsPorReal,IF(C37="US$",D37*E37*GsPorDolar/GsPorReal,""))))</f>
        <v/>
      </c>
      <c r="G37" s="26" t="n"/>
      <c r="H37" s="25">
        <f>IF(G37="","",G37-N(F37))</f>
        <v/>
      </c>
      <c r="I37" s="23" t="inlineStr">
        <is>
          <t>A pagar</t>
        </is>
      </c>
      <c r="J37" s="22" t="inlineStr">
        <is>
          <t>Veterinário / MAPA</t>
        </is>
      </c>
    </row>
    <row r="39">
      <c r="E39" s="28" t="inlineStr">
        <is>
          <t>TOTAL</t>
        </is>
      </c>
      <c r="F39" s="29">
        <f>SUM(F5:F37)</f>
        <v/>
      </c>
      <c r="G39" s="29">
        <f>SUM(G5:G37)</f>
        <v/>
      </c>
    </row>
  </sheetData>
  <conditionalFormatting sqref="H5:H37">
    <cfRule type="cellIs" priority="1" operator="greaterThan" dxfId="0">
      <formula>0</formula>
    </cfRule>
    <cfRule type="cellIs" priority="2" operator="lessThan" dxfId="1">
      <formula>0</formula>
    </cfRule>
  </conditionalFormatting>
  <dataValidations count="2">
    <dataValidation sqref="C5:C37" showDropDown="0" showInputMessage="0" showErrorMessage="0" allowBlank="0" type="list">
      <formula1>"R$,Gs,US$"</formula1>
    </dataValidation>
    <dataValidation sqref="I5:I37" showDropDown="0" showInputMessage="0" showErrorMessage="0" allowBlank="0" type="list">
      <formula1>"A pagar,Pago,Não se aplica"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9" customWidth="1" min="2" max="2"/>
    <col width="18" customWidth="1" min="3" max="3"/>
    <col width="18" customWidth="1" min="4" max="4"/>
    <col width="44" customWidth="1" min="5" max="5"/>
  </cols>
  <sheetData>
    <row r="1">
      <c r="A1" s="4" t="inlineStr">
        <is>
          <t>Custo de vida mensal previsto no Paraguai</t>
        </is>
      </c>
    </row>
    <row r="2">
      <c r="A2" t="inlineStr">
        <is>
          <t>Use valores de anúncios e orçamentos reais da cidade escolhida. Moeda: R$, Gs ou US$.</t>
        </is>
      </c>
    </row>
    <row r="4">
      <c r="A4" s="5" t="inlineStr">
        <is>
          <t>Item</t>
        </is>
      </c>
      <c r="B4" s="5" t="inlineStr">
        <is>
          <t>Moeda</t>
        </is>
      </c>
      <c r="C4" s="5" t="inlineStr">
        <is>
          <t>Valor mensal</t>
        </is>
      </c>
      <c r="D4" s="5" t="inlineStr">
        <is>
          <t>Valor mensal (R$)</t>
        </is>
      </c>
      <c r="E4" s="5" t="inlineStr">
        <is>
          <t>Observação</t>
        </is>
      </c>
    </row>
    <row r="5">
      <c r="A5" s="6" t="inlineStr">
        <is>
          <t>Aluguel</t>
        </is>
      </c>
      <c r="B5" s="30" t="inlineStr">
        <is>
          <t>Gs</t>
        </is>
      </c>
      <c r="C5" s="14" t="n"/>
      <c r="D5" s="7">
        <f>IF(C5="","",IF(B5="R$",C5,IF(B5="Gs",C5/GsPorReal,IF(B5="US$",C5*GsPorDolar/GsPorReal,""))))</f>
        <v/>
      </c>
      <c r="E5" s="6" t="inlineStr">
        <is>
          <t>Ver Bônus 1 e anúncios reais</t>
        </is>
      </c>
    </row>
    <row r="6">
      <c r="A6" s="6" t="inlineStr">
        <is>
          <t>Condomínio (expensas)</t>
        </is>
      </c>
      <c r="B6" s="30" t="inlineStr">
        <is>
          <t>Gs</t>
        </is>
      </c>
      <c r="C6" s="14" t="n"/>
      <c r="D6" s="7">
        <f>IF(C6="","",IF(B6="R$",C6,IF(B6="Gs",C6/GsPorReal,IF(B6="US$",C6*GsPorDolar/GsPorReal,""))))</f>
        <v/>
      </c>
      <c r="E6" s="6" t="inlineStr">
        <is>
          <t>Pergunte no anúncio</t>
        </is>
      </c>
    </row>
    <row r="7">
      <c r="A7" s="6" t="inlineStr">
        <is>
          <t>Energia elétrica (ANDE)</t>
        </is>
      </c>
      <c r="B7" s="30" t="inlineStr">
        <is>
          <t>Gs</t>
        </is>
      </c>
      <c r="C7" s="14" t="n"/>
      <c r="D7" s="7">
        <f>IF(C7="","",IF(B7="R$",C7,IF(B7="Gs",C7/GsPorReal,IF(B7="US$",C7*GsPorDolar/GsPorReal,""))))</f>
        <v/>
      </c>
      <c r="E7" s="6" t="inlineStr">
        <is>
          <t>Ar-condicionado aumenta muito a conta no verão</t>
        </is>
      </c>
    </row>
    <row r="8">
      <c r="A8" s="6" t="inlineStr">
        <is>
          <t>Água</t>
        </is>
      </c>
      <c r="B8" s="30" t="inlineStr">
        <is>
          <t>Gs</t>
        </is>
      </c>
      <c r="C8" s="14" t="n"/>
      <c r="D8" s="7">
        <f>IF(C8="","",IF(B8="R$",C8,IF(B8="Gs",C8/GsPorReal,IF(B8="US$",C8*GsPorDolar/GsPorReal,""))))</f>
        <v/>
      </c>
      <c r="E8" s="6" t="inlineStr"/>
    </row>
    <row r="9">
      <c r="A9" s="6" t="inlineStr">
        <is>
          <t>Internet</t>
        </is>
      </c>
      <c r="B9" s="30" t="inlineStr">
        <is>
          <t>Gs</t>
        </is>
      </c>
      <c r="C9" s="14" t="n"/>
      <c r="D9" s="7">
        <f>IF(C9="","",IF(B9="R$",C9,IF(B9="Gs",C9/GsPorReal,IF(B9="US$",C9*GsPorDolar/GsPorReal,""))))</f>
        <v/>
      </c>
      <c r="E9" s="6" t="inlineStr"/>
    </row>
    <row r="10">
      <c r="A10" s="6" t="inlineStr">
        <is>
          <t>Celular</t>
        </is>
      </c>
      <c r="B10" s="30" t="inlineStr">
        <is>
          <t>Gs</t>
        </is>
      </c>
      <c r="C10" s="14" t="n"/>
      <c r="D10" s="7">
        <f>IF(C10="","",IF(B10="R$",C10,IF(B10="Gs",C10/GsPorReal,IF(B10="US$",C10*GsPorDolar/GsPorReal,""))))</f>
        <v/>
      </c>
      <c r="E10" s="6" t="inlineStr"/>
    </row>
    <row r="11">
      <c r="A11" s="6" t="inlineStr">
        <is>
          <t>Supermercado</t>
        </is>
      </c>
      <c r="B11" s="30" t="inlineStr">
        <is>
          <t>Gs</t>
        </is>
      </c>
      <c r="C11" s="14" t="n"/>
      <c r="D11" s="7">
        <f>IF(C11="","",IF(B11="R$",C11,IF(B11="Gs",C11/GsPorReal,IF(B11="US$",C11*GsPorDolar/GsPorReal,""))))</f>
        <v/>
      </c>
      <c r="E11" s="6" t="inlineStr"/>
    </row>
    <row r="12">
      <c r="A12" s="6" t="inlineStr">
        <is>
          <t>Transporte (ônibus, combustível, aplicativo)</t>
        </is>
      </c>
      <c r="B12" s="30" t="inlineStr">
        <is>
          <t>Gs</t>
        </is>
      </c>
      <c r="C12" s="14" t="n"/>
      <c r="D12" s="7">
        <f>IF(C12="","",IF(B12="R$",C12,IF(B12="Gs",C12/GsPorReal,IF(B12="US$",C12*GsPorDolar/GsPorReal,""))))</f>
        <v/>
      </c>
      <c r="E12" s="6" t="inlineStr"/>
    </row>
    <row r="13">
      <c r="A13" s="6" t="inlineStr">
        <is>
          <t>Plano de saúde / seguro médico</t>
        </is>
      </c>
      <c r="B13" s="30" t="inlineStr">
        <is>
          <t>Gs</t>
        </is>
      </c>
      <c r="C13" s="14" t="n"/>
      <c r="D13" s="7">
        <f>IF(C13="","",IF(B13="R$",C13,IF(B13="Gs",C13/GsPorReal,IF(B13="US$",C13*GsPorDolar/GsPorReal,""))))</f>
        <v/>
      </c>
      <c r="E13" s="6" t="inlineStr">
        <is>
          <t>Cote para todas as pessoas</t>
        </is>
      </c>
    </row>
    <row r="14">
      <c r="A14" s="6" t="inlineStr">
        <is>
          <t>Escola dos filhos (mensalidade)</t>
        </is>
      </c>
      <c r="B14" s="30" t="inlineStr">
        <is>
          <t>Gs</t>
        </is>
      </c>
      <c r="C14" s="14" t="n"/>
      <c r="D14" s="7">
        <f>IF(C14="","",IF(B14="R$",C14,IF(B14="Gs",C14/GsPorReal,IF(B14="US$",C14*GsPorDolar/GsPorReal,""))))</f>
        <v/>
      </c>
      <c r="E14" s="6" t="inlineStr">
        <is>
          <t>Ver Bônus 3</t>
        </is>
      </c>
    </row>
    <row r="15">
      <c r="A15" s="6" t="inlineStr">
        <is>
          <t>Material escolar e uniforme (média mensal)</t>
        </is>
      </c>
      <c r="B15" s="30" t="inlineStr">
        <is>
          <t>Gs</t>
        </is>
      </c>
      <c r="C15" s="14" t="n"/>
      <c r="D15" s="7">
        <f>IF(C15="","",IF(B15="R$",C15,IF(B15="Gs",C15/GsPorReal,IF(B15="US$",C15*GsPorDolar/GsPorReal,""))))</f>
        <v/>
      </c>
      <c r="E15" s="6" t="inlineStr"/>
    </row>
    <row r="16">
      <c r="A16" s="6" t="inlineStr">
        <is>
          <t>Lazer</t>
        </is>
      </c>
      <c r="B16" s="30" t="inlineStr">
        <is>
          <t>Gs</t>
        </is>
      </c>
      <c r="C16" s="14" t="n"/>
      <c r="D16" s="7">
        <f>IF(C16="","",IF(B16="R$",C16,IF(B16="Gs",C16/GsPorReal,IF(B16="US$",C16*GsPorDolar/GsPorReal,""))))</f>
        <v/>
      </c>
      <c r="E16" s="6" t="inlineStr"/>
    </row>
    <row r="17">
      <c r="A17" s="6" t="inlineStr">
        <is>
          <t>Contas que continuam no Brasil</t>
        </is>
      </c>
      <c r="B17" s="30" t="inlineStr">
        <is>
          <t>R$</t>
        </is>
      </c>
      <c r="C17" s="14" t="n"/>
      <c r="D17" s="7">
        <f>IF(C17="","",IF(B17="R$",C17,IF(B17="Gs",C17/GsPorReal,IF(B17="US$",C17*GsPorDolar/GsPorReal,""))))</f>
        <v/>
      </c>
      <c r="E17" s="6" t="inlineStr">
        <is>
          <t>Cartões, assinaturas, celular brasileiro</t>
        </is>
      </c>
    </row>
    <row r="18">
      <c r="A18" s="6" t="inlineStr">
        <is>
          <t>Outros</t>
        </is>
      </c>
      <c r="B18" s="30" t="inlineStr">
        <is>
          <t>Gs</t>
        </is>
      </c>
      <c r="C18" s="14" t="n"/>
      <c r="D18" s="7">
        <f>IF(C18="","",IF(B18="R$",C18,IF(B18="Gs",C18/GsPorReal,IF(B18="US$",C18*GsPorDolar/GsPorReal,""))))</f>
        <v/>
      </c>
      <c r="E18" s="6" t="inlineStr"/>
    </row>
    <row r="20">
      <c r="A20" s="28" t="inlineStr">
        <is>
          <t>TOTAL MENSAL</t>
        </is>
      </c>
      <c r="D20" s="29">
        <f>SUM(D5:D18)</f>
        <v/>
      </c>
    </row>
  </sheetData>
  <dataValidations count="1">
    <dataValidation sqref="B5:B18" showDropDown="0" showInputMessage="0" showErrorMessage="0" allowBlank="0" type="list">
      <formula1>"R$,Gs,US$"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2026-10-27T14:02:50Z</dcterms:created>
  <dcterms:modified xmlns:dcterms="http://purl.org/dc/terms/" xmlns:xsi="http://www.w3.org/2001/XMLSchema-instance" xsi:type="dcterms:W3CDTF">2026-10-27T14:02:50Z</dcterms:modified>
</cp:coreProperties>
</file>